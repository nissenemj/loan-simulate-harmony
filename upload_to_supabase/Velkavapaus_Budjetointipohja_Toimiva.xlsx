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Ohjeistus" sheetId="1" state="visible" r:id="rId1"/>
    <sheet xmlns:r="http://schemas.openxmlformats.org/officeDocument/2006/relationships" name="💰 Kuukausittainen budjetti" sheetId="2" state="visible" r:id="rId2"/>
    <sheet xmlns:r="http://schemas.openxmlformats.org/officeDocument/2006/relationships" name="📊 Tulot ja menot" sheetId="3" state="visible" r:id="rId3"/>
    <sheet xmlns:r="http://schemas.openxmlformats.org/officeDocument/2006/relationships" name="💳 Velkaseuranta" sheetId="4" state="visible" r:id="rId4"/>
    <sheet xmlns:r="http://schemas.openxmlformats.org/officeDocument/2006/relationships" name="🎯 Säästötavoitteet" sheetId="5" state="visible" r:id="rId5"/>
    <sheet xmlns:r="http://schemas.openxmlformats.org/officeDocument/2006/relationships" name="📅 Vuosikatsaus" sheetId="6" state="visible" r:id="rId6"/>
    <sheet xmlns:r="http://schemas.openxmlformats.org/officeDocument/2006/relationships" name="📈 Raport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%"/>
    <numFmt numFmtId="166" formatCode="DD.MM.YYYY"/>
  </numFmts>
  <fonts count="16">
    <font>
      <name val="Calibri"/>
      <family val="2"/>
      <color theme="1"/>
      <sz val="11"/>
      <scheme val="minor"/>
    </font>
    <font>
      <b val="1"/>
      <color rgb="001F4E78"/>
      <sz val="20"/>
    </font>
    <font>
      <i val="1"/>
      <sz val="12"/>
    </font>
    <font>
      <sz val="11"/>
    </font>
    <font>
      <b val="1"/>
      <color rgb="001F4E78"/>
      <sz val="14"/>
    </font>
    <font>
      <b val="1"/>
      <color rgb="0070AD47"/>
      <sz val="11"/>
    </font>
    <font>
      <i val="1"/>
      <color rgb="00C00000"/>
      <sz val="10"/>
    </font>
    <font>
      <b val="1"/>
      <sz val="16"/>
    </font>
    <font>
      <i val="1"/>
      <sz val="9"/>
    </font>
    <font>
      <b val="1"/>
      <color rgb="00FFFFFF"/>
      <sz val="14"/>
    </font>
    <font>
      <b val="1"/>
    </font>
    <font>
      <b val="1"/>
      <sz val="12"/>
    </font>
    <font>
      <b val="1"/>
      <color rgb="001F4E78"/>
    </font>
    <font>
      <i val="1"/>
    </font>
    <font>
      <b val="1"/>
      <color rgb="00FFFFFF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F4B084"/>
        <bgColor rgb="00F4B084"/>
      </patternFill>
    </fill>
    <fill>
      <patternFill patternType="solid">
        <fgColor rgb="00F8CBAD"/>
        <bgColor rgb="00F8CBAD"/>
      </patternFill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3" borderId="0" pivotButton="0" quotePrefix="0" xfId="0"/>
    <xf numFmtId="164" fontId="0" fillId="4" borderId="0" pivotButton="0" quotePrefix="0" xfId="0"/>
    <xf numFmtId="0" fontId="11" fillId="0" borderId="0" pivotButton="0" quotePrefix="0" xfId="0"/>
    <xf numFmtId="164" fontId="11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12" fillId="0" borderId="0" pivotButton="0" quotePrefix="0" xfId="0"/>
    <xf numFmtId="0" fontId="13" fillId="0" borderId="0" pivotButton="0" quotePrefix="0" xfId="0"/>
    <xf numFmtId="164" fontId="0" fillId="8" borderId="0" pivotButton="0" quotePrefix="0" xfId="0"/>
    <xf numFmtId="164" fontId="11" fillId="9" borderId="0" pivotButton="0" quotePrefix="0" xfId="0"/>
    <xf numFmtId="0" fontId="9" fillId="10" borderId="0" pivotButton="0" quotePrefix="0" xfId="0"/>
    <xf numFmtId="164" fontId="0" fillId="5" borderId="0" pivotButton="0" quotePrefix="0" xfId="0"/>
    <xf numFmtId="164" fontId="0" fillId="9" borderId="0" pivotButton="0" quotePrefix="0" xfId="0"/>
    <xf numFmtId="164" fontId="11" fillId="11" borderId="0" pivotButton="0" quotePrefix="0" xfId="0"/>
    <xf numFmtId="165" fontId="0" fillId="11" borderId="0" pivotButton="0" quotePrefix="0" xfId="0"/>
    <xf numFmtId="0" fontId="14" fillId="10" borderId="0" applyAlignment="1" pivotButton="0" quotePrefix="0" xfId="0">
      <alignment horizontal="center"/>
    </xf>
    <xf numFmtId="166" fontId="0" fillId="4" borderId="0" pivotButton="0" quotePrefix="0" xfId="0"/>
    <xf numFmtId="0" fontId="0" fillId="4" borderId="0" pivotButton="0" quotePrefix="0" xfId="0"/>
    <xf numFmtId="0" fontId="15" fillId="10" borderId="0" pivotButton="0" quotePrefix="0" xfId="0"/>
    <xf numFmtId="164" fontId="10" fillId="11" borderId="0" pivotButton="0" quotePrefix="0" xfId="0"/>
    <xf numFmtId="0" fontId="14" fillId="6" borderId="0" applyAlignment="1" pivotButton="0" quotePrefix="0" xfId="0">
      <alignment horizontal="center" wrapText="1"/>
    </xf>
    <xf numFmtId="10" fontId="0" fillId="4" borderId="0" pivotButton="0" quotePrefix="0" xfId="0"/>
    <xf numFmtId="1" fontId="0" fillId="0" borderId="0" pivotButton="0" quotePrefix="0" xfId="0"/>
    <xf numFmtId="164" fontId="0" fillId="0" borderId="0" pivotButton="0" quotePrefix="0" xfId="0"/>
    <xf numFmtId="164" fontId="10" fillId="9" borderId="0" pivotButton="0" quotePrefix="0" xfId="0"/>
    <xf numFmtId="10" fontId="0" fillId="11" borderId="0" pivotButton="0" quotePrefix="0" xfId="0"/>
    <xf numFmtId="0" fontId="14" fillId="2" borderId="0" applyAlignment="1" pivotButton="0" quotePrefix="0" xfId="0">
      <alignment horizontal="center" wrapText="1"/>
    </xf>
    <xf numFmtId="0" fontId="14" fillId="10" borderId="0" pivotButton="0" quotePrefix="0" xfId="0"/>
    <xf numFmtId="0" fontId="10" fillId="0" borderId="0" pivotButton="0" quotePrefix="0" xfId="0"/>
    <xf numFmtId="164" fontId="10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9"/>
  <sheetViews>
    <sheetView workbookViewId="0">
      <selection activeCell="A1" sqref="A1"/>
    </sheetView>
  </sheetViews>
  <sheetFormatPr baseColWidth="8" defaultRowHeight="15"/>
  <cols>
    <col width="2" customWidth="1" min="1" max="1"/>
    <col width="70" customWidth="1" min="2" max="2"/>
  </cols>
  <sheetData>
    <row r="2">
      <c r="B2" s="1" t="inlineStr">
        <is>
          <t>Velkavapaus.fi Budjetointipohja</t>
        </is>
      </c>
    </row>
    <row r="3">
      <c r="B3" s="2" t="inlineStr">
        <is>
          <t>Tervetuloa käyttämään budjetointipohjaa!</t>
        </is>
      </c>
    </row>
    <row r="5">
      <c r="B5" s="3" t="inlineStr"/>
    </row>
    <row r="6">
      <c r="B6" s="4" t="inlineStr">
        <is>
          <t>Miten aloitan?</t>
        </is>
      </c>
    </row>
    <row r="7">
      <c r="B7" s="3" t="inlineStr"/>
    </row>
    <row r="8">
      <c r="B8" s="3" t="inlineStr">
        <is>
          <t>1. Aloita "Kuukausittainen budjetti" -välilehdeltä</t>
        </is>
      </c>
    </row>
    <row r="9">
      <c r="B9" s="3" t="inlineStr">
        <is>
          <t xml:space="preserve">   - Syötä kuukausitulosi keltaisille alueille</t>
        </is>
      </c>
    </row>
    <row r="10">
      <c r="B10" s="3" t="inlineStr">
        <is>
          <t xml:space="preserve">   - Syötä kuukausimenosi keltaisille alueille</t>
        </is>
      </c>
    </row>
    <row r="11">
      <c r="B11" s="3" t="inlineStr">
        <is>
          <t xml:space="preserve">   - Pohja laskee automaattisesti yhteenvedot</t>
        </is>
      </c>
    </row>
    <row r="12">
      <c r="B12" s="3" t="inlineStr"/>
    </row>
    <row r="13">
      <c r="B13" s="3" t="inlineStr">
        <is>
          <t>2. Seuraa päivittäisiä tuloja ja menoja "Tulot ja menot" -välilehdellä</t>
        </is>
      </c>
    </row>
    <row r="14">
      <c r="B14" s="3" t="inlineStr">
        <is>
          <t xml:space="preserve">   - Kirjaa jokainen tulo ja meno</t>
        </is>
      </c>
    </row>
    <row r="15">
      <c r="B15" s="3" t="inlineStr">
        <is>
          <t xml:space="preserve">   - Valitse kategoria pudotusvalikosta</t>
        </is>
      </c>
    </row>
    <row r="16">
      <c r="B16" s="3" t="inlineStr">
        <is>
          <t xml:space="preserve">   - Yhteenvedot päivittyvät automaattisesti</t>
        </is>
      </c>
    </row>
    <row r="17">
      <c r="B17" s="3" t="inlineStr"/>
    </row>
    <row r="18">
      <c r="B18" s="3" t="inlineStr">
        <is>
          <t>3. Hallitse velkojasi "Velkaseuranta" -välilehdellä</t>
        </is>
      </c>
    </row>
    <row r="19">
      <c r="B19" s="3" t="inlineStr">
        <is>
          <t xml:space="preserve">   - Syötä kaikki velkasi</t>
        </is>
      </c>
    </row>
    <row r="20">
      <c r="B20" s="3" t="inlineStr">
        <is>
          <t xml:space="preserve">   - Pohja laskee kokonaiskorot ja takaisinmaksuajat</t>
        </is>
      </c>
    </row>
    <row r="21">
      <c r="B21" s="3" t="inlineStr">
        <is>
          <t xml:space="preserve">   - Näet selkeästi, mitkä velat kannattaa maksaa ensin</t>
        </is>
      </c>
    </row>
    <row r="22">
      <c r="B22" s="3" t="inlineStr"/>
    </row>
    <row r="23">
      <c r="B23" s="3" t="inlineStr">
        <is>
          <t>4. Aseta säästötavoitteita "Säästötavoitteet" -välilehdellä</t>
        </is>
      </c>
    </row>
    <row r="24">
      <c r="B24" s="3" t="inlineStr">
        <is>
          <t xml:space="preserve">   - Määritä tavoitteesi ja aikaraja</t>
        </is>
      </c>
    </row>
    <row r="25">
      <c r="B25" s="3" t="inlineStr">
        <is>
          <t xml:space="preserve">   - Seuraa edistymistäsi</t>
        </is>
      </c>
    </row>
    <row r="26">
      <c r="B26" s="3" t="inlineStr">
        <is>
          <t xml:space="preserve">   - Pohja laskee, paljonko sinun pitää säästää kuukaudessa</t>
        </is>
      </c>
    </row>
    <row r="27">
      <c r="B27" s="3" t="inlineStr"/>
    </row>
    <row r="28">
      <c r="B28" s="3" t="inlineStr">
        <is>
          <t>5. Tarkastele vuosikatsausta ja raportteja</t>
        </is>
      </c>
    </row>
    <row r="29">
      <c r="B29" s="3" t="inlineStr">
        <is>
          <t xml:space="preserve">   - "Vuosikatsaus" näyttää vuositason yhteenvedot</t>
        </is>
      </c>
    </row>
    <row r="30">
      <c r="B30" s="3" t="inlineStr">
        <is>
          <t xml:space="preserve">   - "Raportit" antaa automaattisia analyysejä</t>
        </is>
      </c>
    </row>
    <row r="31">
      <c r="B31" s="3" t="inlineStr"/>
    </row>
    <row r="32">
      <c r="B32" s="4" t="inlineStr">
        <is>
          <t>Vinkkejä:</t>
        </is>
      </c>
    </row>
    <row r="33">
      <c r="B33" s="3" t="inlineStr"/>
    </row>
    <row r="34">
      <c r="B34" s="5" t="inlineStr">
        <is>
          <t>✓ Päivitä tietosi säännöllisesti (vähintään kerran viikossa)</t>
        </is>
      </c>
    </row>
    <row r="35">
      <c r="B35" s="5" t="inlineStr">
        <is>
          <t>✓ Ole rehellinen itsellesi - kirjaa kaikki menot</t>
        </is>
      </c>
    </row>
    <row r="36">
      <c r="B36" s="5" t="inlineStr">
        <is>
          <t>✓ Aseta realistiset tavoitteet</t>
        </is>
      </c>
    </row>
    <row r="37">
      <c r="B37" s="5" t="inlineStr">
        <is>
          <t>✓ Juhli pieniä voittoja!</t>
        </is>
      </c>
    </row>
    <row r="38">
      <c r="B38" s="3" t="inlineStr"/>
    </row>
    <row r="39">
      <c r="B39" s="6" t="inlineStr">
        <is>
          <t>Huom! Keltaiset solut ovat syöttökenttiä, valkoiset ovat automaattisia laskelmia.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5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</cols>
  <sheetData>
    <row r="2">
      <c r="B2" s="7" t="inlineStr">
        <is>
          <t>Kuukausittainen budjetti</t>
        </is>
      </c>
    </row>
    <row r="3">
      <c r="B3" s="8" t="inlineStr">
        <is>
          <t>Päivitetty: 04.01.2026</t>
        </is>
      </c>
    </row>
    <row r="5">
      <c r="B5" s="9" t="inlineStr">
        <is>
          <t>TULOT</t>
        </is>
      </c>
    </row>
    <row r="6">
      <c r="B6" s="10" t="inlineStr">
        <is>
          <t>Tulolähde</t>
        </is>
      </c>
      <c r="C6" s="10" t="inlineStr">
        <is>
          <t>Summa (€/kk)</t>
        </is>
      </c>
    </row>
    <row r="7">
      <c r="B7" t="inlineStr">
        <is>
          <t>Palkka (netto)</t>
        </is>
      </c>
      <c r="C7" s="11" t="n">
        <v>0</v>
      </c>
    </row>
    <row r="8">
      <c r="B8" t="inlineStr">
        <is>
          <t>Sivutulot</t>
        </is>
      </c>
      <c r="C8" s="11" t="n">
        <v>0</v>
      </c>
    </row>
    <row r="9">
      <c r="B9" t="inlineStr">
        <is>
          <t>Etuudet</t>
        </is>
      </c>
      <c r="C9" s="11" t="n">
        <v>0</v>
      </c>
    </row>
    <row r="10">
      <c r="B10" t="inlineStr">
        <is>
          <t>Muut tulot</t>
        </is>
      </c>
      <c r="C10" s="11" t="n">
        <v>0</v>
      </c>
    </row>
    <row r="11">
      <c r="B11" s="12" t="inlineStr">
        <is>
          <t>TULOT YHTEENSÄ</t>
        </is>
      </c>
      <c r="C11" s="13">
        <f>SUM(C7:C10)</f>
        <v/>
      </c>
    </row>
    <row r="13">
      <c r="B13" s="14" t="inlineStr">
        <is>
          <t>MENOT</t>
        </is>
      </c>
    </row>
    <row r="14">
      <c r="B14" s="15" t="inlineStr">
        <is>
          <t>Menokategoria</t>
        </is>
      </c>
      <c r="C14" s="15" t="inlineStr">
        <is>
          <t>Summa (€/kk)</t>
        </is>
      </c>
    </row>
    <row r="15">
      <c r="B15" s="16" t="inlineStr">
        <is>
          <t>Asuminen</t>
        </is>
      </c>
    </row>
    <row r="16">
      <c r="B16" t="inlineStr">
        <is>
          <t xml:space="preserve">  Vuokra/laina</t>
        </is>
      </c>
      <c r="C16" s="11" t="n">
        <v>0</v>
      </c>
    </row>
    <row r="17">
      <c r="B17" t="inlineStr">
        <is>
          <t xml:space="preserve">  Sähkö</t>
        </is>
      </c>
      <c r="C17" s="11" t="n">
        <v>0</v>
      </c>
    </row>
    <row r="18">
      <c r="B18" t="inlineStr">
        <is>
          <t xml:space="preserve">  Vesi</t>
        </is>
      </c>
      <c r="C18" s="11" t="n">
        <v>0</v>
      </c>
    </row>
    <row r="19">
      <c r="B19" t="inlineStr">
        <is>
          <t xml:space="preserve">  Internet</t>
        </is>
      </c>
      <c r="C19" s="11" t="n">
        <v>0</v>
      </c>
    </row>
    <row r="20">
      <c r="B20" t="inlineStr">
        <is>
          <t xml:space="preserve">  Kotivakuutus</t>
        </is>
      </c>
      <c r="C20" s="11" t="n">
        <v>0</v>
      </c>
    </row>
    <row r="21">
      <c r="B21" s="17" t="inlineStr">
        <is>
          <t>Asuminen yhteensä</t>
        </is>
      </c>
      <c r="C21" s="18">
        <f>SUM(C16:C20)</f>
        <v/>
      </c>
    </row>
    <row r="22">
      <c r="B22" s="16" t="inlineStr">
        <is>
          <t>Ruoka</t>
        </is>
      </c>
    </row>
    <row r="23">
      <c r="B23" t="inlineStr">
        <is>
          <t xml:space="preserve">  Ruokaostokset</t>
        </is>
      </c>
      <c r="C23" s="11" t="n">
        <v>0</v>
      </c>
    </row>
    <row r="24">
      <c r="B24" t="inlineStr">
        <is>
          <t xml:space="preserve">  Ravintolat/kahvilat</t>
        </is>
      </c>
      <c r="C24" s="11" t="n">
        <v>0</v>
      </c>
    </row>
    <row r="25">
      <c r="B25" s="17" t="inlineStr">
        <is>
          <t>Ruoka yhteensä</t>
        </is>
      </c>
      <c r="C25" s="18">
        <f>SUM(C23:C24)</f>
        <v/>
      </c>
    </row>
    <row r="26">
      <c r="B26" s="16" t="inlineStr">
        <is>
          <t>Liikenne</t>
        </is>
      </c>
    </row>
    <row r="27">
      <c r="B27" t="inlineStr">
        <is>
          <t xml:space="preserve">  Julkinen liikenne</t>
        </is>
      </c>
      <c r="C27" s="11" t="n">
        <v>0</v>
      </c>
    </row>
    <row r="28">
      <c r="B28" t="inlineStr">
        <is>
          <t xml:space="preserve">  Auto (polttoaine)</t>
        </is>
      </c>
      <c r="C28" s="11" t="n">
        <v>0</v>
      </c>
    </row>
    <row r="29">
      <c r="B29" t="inlineStr">
        <is>
          <t xml:space="preserve">  Autovakuutus</t>
        </is>
      </c>
      <c r="C29" s="11" t="n">
        <v>0</v>
      </c>
    </row>
    <row r="30">
      <c r="B30" t="inlineStr">
        <is>
          <t xml:space="preserve">  Autohuolto</t>
        </is>
      </c>
      <c r="C30" s="11" t="n">
        <v>0</v>
      </c>
    </row>
    <row r="31">
      <c r="B31" s="17" t="inlineStr">
        <is>
          <t>Liikenne yhteensä</t>
        </is>
      </c>
      <c r="C31" s="18">
        <f>SUM(C27:C30)</f>
        <v/>
      </c>
    </row>
    <row r="32">
      <c r="B32" s="16" t="inlineStr">
        <is>
          <t>Velat</t>
        </is>
      </c>
    </row>
    <row r="33">
      <c r="B33" t="inlineStr">
        <is>
          <t xml:space="preserve">  Lainan lyhennykset</t>
        </is>
      </c>
      <c r="C33" s="11" t="n">
        <v>0</v>
      </c>
    </row>
    <row r="34">
      <c r="B34" t="inlineStr">
        <is>
          <t xml:space="preserve">  Luottokortti</t>
        </is>
      </c>
      <c r="C34" s="11" t="n">
        <v>0</v>
      </c>
    </row>
    <row r="35">
      <c r="B35" t="inlineStr">
        <is>
          <t xml:space="preserve">  Muut velat</t>
        </is>
      </c>
      <c r="C35" s="11" t="n">
        <v>0</v>
      </c>
    </row>
    <row r="36">
      <c r="B36" s="17" t="inlineStr">
        <is>
          <t>Velat yhteensä</t>
        </is>
      </c>
      <c r="C36" s="18">
        <f>SUM(C33:C35)</f>
        <v/>
      </c>
    </row>
    <row r="37">
      <c r="B37" s="16" t="inlineStr">
        <is>
          <t>Vakuutukset</t>
        </is>
      </c>
    </row>
    <row r="38">
      <c r="B38" t="inlineStr">
        <is>
          <t xml:space="preserve">  Henkilövakuutukset</t>
        </is>
      </c>
      <c r="C38" s="11" t="n">
        <v>0</v>
      </c>
    </row>
    <row r="39">
      <c r="B39" t="inlineStr">
        <is>
          <t xml:space="preserve">  Muut vakuutukset</t>
        </is>
      </c>
      <c r="C39" s="11" t="n">
        <v>0</v>
      </c>
    </row>
    <row r="40">
      <c r="B40" s="17" t="inlineStr">
        <is>
          <t>Vakuutukset yhteensä</t>
        </is>
      </c>
      <c r="C40" s="18">
        <f>SUM(C38:C39)</f>
        <v/>
      </c>
    </row>
    <row r="41">
      <c r="B41" s="16" t="inlineStr">
        <is>
          <t>Viihde</t>
        </is>
      </c>
    </row>
    <row r="42">
      <c r="B42" t="inlineStr">
        <is>
          <t xml:space="preserve">  Suoratoistopalvelut</t>
        </is>
      </c>
      <c r="C42" s="11" t="n">
        <v>0</v>
      </c>
    </row>
    <row r="43">
      <c r="B43" t="inlineStr">
        <is>
          <t xml:space="preserve">  Harrastukset</t>
        </is>
      </c>
      <c r="C43" s="11" t="n">
        <v>0</v>
      </c>
    </row>
    <row r="44">
      <c r="B44" t="inlineStr">
        <is>
          <t xml:space="preserve">  Muut</t>
        </is>
      </c>
      <c r="C44" s="11" t="n">
        <v>0</v>
      </c>
    </row>
    <row r="45">
      <c r="B45" s="17" t="inlineStr">
        <is>
          <t>Viihde yhteensä</t>
        </is>
      </c>
      <c r="C45" s="18">
        <f>SUM(C42:C44)</f>
        <v/>
      </c>
    </row>
    <row r="46">
      <c r="B46" s="16" t="inlineStr">
        <is>
          <t>Muut menot</t>
        </is>
      </c>
    </row>
    <row r="47">
      <c r="B47" t="inlineStr">
        <is>
          <t xml:space="preserve">  Vaatteet</t>
        </is>
      </c>
      <c r="C47" s="11" t="n">
        <v>0</v>
      </c>
    </row>
    <row r="48">
      <c r="B48" t="inlineStr">
        <is>
          <t xml:space="preserve">  Terveys</t>
        </is>
      </c>
      <c r="C48" s="11" t="n">
        <v>0</v>
      </c>
    </row>
    <row r="49">
      <c r="B49" t="inlineStr">
        <is>
          <t xml:space="preserve">  Muut</t>
        </is>
      </c>
      <c r="C49" s="11" t="n">
        <v>0</v>
      </c>
    </row>
    <row r="50">
      <c r="B50" s="17" t="inlineStr">
        <is>
          <t>Muut menot yhteensä</t>
        </is>
      </c>
      <c r="C50" s="18">
        <f>SUM(C47:C49)</f>
        <v/>
      </c>
    </row>
    <row r="51">
      <c r="B51" s="12" t="inlineStr">
        <is>
          <t>MENOT YHTEENSÄ</t>
        </is>
      </c>
      <c r="C51" s="19">
        <f>SUM(C16,C17,C18,C19,C20,C23,C24,C27,C28,C29,C30,C33,C34,C35,C38,C39,C42,C43,C44,C47,C48,C49)</f>
        <v/>
      </c>
    </row>
    <row r="53">
      <c r="B53" s="20" t="inlineStr">
        <is>
          <t>YHTEENVETO</t>
        </is>
      </c>
    </row>
    <row r="54">
      <c r="B54" t="inlineStr">
        <is>
          <t>Tulot yhteensä</t>
        </is>
      </c>
      <c r="C54" s="21">
        <f>C11</f>
        <v/>
      </c>
    </row>
    <row r="55">
      <c r="B55" t="inlineStr">
        <is>
          <t>Menot yhteensä</t>
        </is>
      </c>
      <c r="C55" s="22">
        <f>C51</f>
        <v/>
      </c>
    </row>
    <row r="56">
      <c r="B56" s="12" t="inlineStr">
        <is>
          <t>JÄLJELLE (Säästö/Alijäämä)</t>
        </is>
      </c>
      <c r="C56" s="23">
        <f>C11-C51</f>
        <v/>
      </c>
    </row>
    <row r="57">
      <c r="B57" t="inlineStr">
        <is>
          <t>Säästöaste %</t>
        </is>
      </c>
      <c r="C57" s="24">
        <f>IF(C11=0,0,(C11-C51)/C11)</f>
        <v/>
      </c>
    </row>
  </sheetData>
  <mergeCells count="4">
    <mergeCell ref="B13:E13"/>
    <mergeCell ref="B5:E5"/>
    <mergeCell ref="B2:E2"/>
    <mergeCell ref="B53:E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0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15" customWidth="1" min="4" max="4"/>
    <col width="12" customWidth="1" min="5" max="5"/>
    <col width="10" customWidth="1" min="6" max="6"/>
  </cols>
  <sheetData>
    <row r="2">
      <c r="B2" s="7" t="inlineStr">
        <is>
          <t>Päivittäinen seuranta</t>
        </is>
      </c>
    </row>
    <row r="4">
      <c r="B4" s="25" t="inlineStr">
        <is>
          <t>Päivämäärä</t>
        </is>
      </c>
      <c r="C4" s="25" t="inlineStr">
        <is>
          <t>Kuvaus</t>
        </is>
      </c>
      <c r="D4" s="25" t="inlineStr">
        <is>
          <t>Kategoria</t>
        </is>
      </c>
      <c r="E4" s="25" t="inlineStr">
        <is>
          <t>Summa (€)</t>
        </is>
      </c>
      <c r="F4" s="25" t="inlineStr">
        <is>
          <t>Tyyppi</t>
        </is>
      </c>
    </row>
    <row r="5">
      <c r="B5" s="26" t="n"/>
      <c r="C5" s="27" t="n"/>
      <c r="D5" s="27" t="n"/>
      <c r="E5" s="11" t="n">
        <v>0</v>
      </c>
      <c r="F5" s="27" t="n"/>
    </row>
    <row r="6">
      <c r="B6" s="26" t="n"/>
      <c r="C6" s="27" t="n"/>
      <c r="D6" s="27" t="n"/>
      <c r="E6" s="11" t="n">
        <v>0</v>
      </c>
      <c r="F6" s="27" t="n"/>
    </row>
    <row r="7">
      <c r="B7" s="26" t="n"/>
      <c r="C7" s="27" t="n"/>
      <c r="D7" s="27" t="n"/>
      <c r="E7" s="11" t="n">
        <v>0</v>
      </c>
      <c r="F7" s="27" t="n"/>
    </row>
    <row r="8">
      <c r="B8" s="26" t="n"/>
      <c r="C8" s="27" t="n"/>
      <c r="D8" s="27" t="n"/>
      <c r="E8" s="11" t="n">
        <v>0</v>
      </c>
      <c r="F8" s="27" t="n"/>
    </row>
    <row r="9">
      <c r="B9" s="26" t="n"/>
      <c r="C9" s="27" t="n"/>
      <c r="D9" s="27" t="n"/>
      <c r="E9" s="11" t="n">
        <v>0</v>
      </c>
      <c r="F9" s="27" t="n"/>
    </row>
    <row r="10">
      <c r="B10" s="26" t="n"/>
      <c r="C10" s="27" t="n"/>
      <c r="D10" s="27" t="n"/>
      <c r="E10" s="11" t="n">
        <v>0</v>
      </c>
      <c r="F10" s="27" t="n"/>
    </row>
    <row r="11">
      <c r="B11" s="26" t="n"/>
      <c r="C11" s="27" t="n"/>
      <c r="D11" s="27" t="n"/>
      <c r="E11" s="11" t="n">
        <v>0</v>
      </c>
      <c r="F11" s="27" t="n"/>
    </row>
    <row r="12">
      <c r="B12" s="26" t="n"/>
      <c r="C12" s="27" t="n"/>
      <c r="D12" s="27" t="n"/>
      <c r="E12" s="11" t="n">
        <v>0</v>
      </c>
      <c r="F12" s="27" t="n"/>
    </row>
    <row r="13">
      <c r="B13" s="26" t="n"/>
      <c r="C13" s="27" t="n"/>
      <c r="D13" s="27" t="n"/>
      <c r="E13" s="11" t="n">
        <v>0</v>
      </c>
      <c r="F13" s="27" t="n"/>
    </row>
    <row r="14">
      <c r="B14" s="26" t="n"/>
      <c r="C14" s="27" t="n"/>
      <c r="D14" s="27" t="n"/>
      <c r="E14" s="11" t="n">
        <v>0</v>
      </c>
      <c r="F14" s="27" t="n"/>
    </row>
    <row r="15">
      <c r="B15" s="26" t="n"/>
      <c r="C15" s="27" t="n"/>
      <c r="D15" s="27" t="n"/>
      <c r="E15" s="11" t="n">
        <v>0</v>
      </c>
      <c r="F15" s="27" t="n"/>
    </row>
    <row r="16">
      <c r="B16" s="26" t="n"/>
      <c r="C16" s="27" t="n"/>
      <c r="D16" s="27" t="n"/>
      <c r="E16" s="11" t="n">
        <v>0</v>
      </c>
      <c r="F16" s="27" t="n"/>
    </row>
    <row r="17">
      <c r="B17" s="26" t="n"/>
      <c r="C17" s="27" t="n"/>
      <c r="D17" s="27" t="n"/>
      <c r="E17" s="11" t="n">
        <v>0</v>
      </c>
      <c r="F17" s="27" t="n"/>
    </row>
    <row r="18">
      <c r="B18" s="26" t="n"/>
      <c r="C18" s="27" t="n"/>
      <c r="D18" s="27" t="n"/>
      <c r="E18" s="11" t="n">
        <v>0</v>
      </c>
      <c r="F18" s="27" t="n"/>
    </row>
    <row r="19">
      <c r="B19" s="26" t="n"/>
      <c r="C19" s="27" t="n"/>
      <c r="D19" s="27" t="n"/>
      <c r="E19" s="11" t="n">
        <v>0</v>
      </c>
      <c r="F19" s="27" t="n"/>
    </row>
    <row r="20">
      <c r="B20" s="26" t="n"/>
      <c r="C20" s="27" t="n"/>
      <c r="D20" s="27" t="n"/>
      <c r="E20" s="11" t="n">
        <v>0</v>
      </c>
      <c r="F20" s="27" t="n"/>
    </row>
    <row r="21">
      <c r="B21" s="26" t="n"/>
      <c r="C21" s="27" t="n"/>
      <c r="D21" s="27" t="n"/>
      <c r="E21" s="11" t="n">
        <v>0</v>
      </c>
      <c r="F21" s="27" t="n"/>
    </row>
    <row r="22">
      <c r="B22" s="26" t="n"/>
      <c r="C22" s="27" t="n"/>
      <c r="D22" s="27" t="n"/>
      <c r="E22" s="11" t="n">
        <v>0</v>
      </c>
      <c r="F22" s="27" t="n"/>
    </row>
    <row r="23">
      <c r="B23" s="26" t="n"/>
      <c r="C23" s="27" t="n"/>
      <c r="D23" s="27" t="n"/>
      <c r="E23" s="11" t="n">
        <v>0</v>
      </c>
      <c r="F23" s="27" t="n"/>
    </row>
    <row r="24">
      <c r="B24" s="26" t="n"/>
      <c r="C24" s="27" t="n"/>
      <c r="D24" s="27" t="n"/>
      <c r="E24" s="11" t="n">
        <v>0</v>
      </c>
      <c r="F24" s="27" t="n"/>
    </row>
    <row r="25">
      <c r="B25" s="26" t="n"/>
      <c r="C25" s="27" t="n"/>
      <c r="D25" s="27" t="n"/>
      <c r="E25" s="11" t="n">
        <v>0</v>
      </c>
      <c r="F25" s="27" t="n"/>
    </row>
    <row r="26">
      <c r="B26" s="26" t="n"/>
      <c r="C26" s="27" t="n"/>
      <c r="D26" s="27" t="n"/>
      <c r="E26" s="11" t="n">
        <v>0</v>
      </c>
      <c r="F26" s="27" t="n"/>
    </row>
    <row r="27">
      <c r="B27" s="26" t="n"/>
      <c r="C27" s="27" t="n"/>
      <c r="D27" s="27" t="n"/>
      <c r="E27" s="11" t="n">
        <v>0</v>
      </c>
      <c r="F27" s="27" t="n"/>
    </row>
    <row r="28">
      <c r="B28" s="26" t="n"/>
      <c r="C28" s="27" t="n"/>
      <c r="D28" s="27" t="n"/>
      <c r="E28" s="11" t="n">
        <v>0</v>
      </c>
      <c r="F28" s="27" t="n"/>
    </row>
    <row r="29">
      <c r="B29" s="26" t="n"/>
      <c r="C29" s="27" t="n"/>
      <c r="D29" s="27" t="n"/>
      <c r="E29" s="11" t="n">
        <v>0</v>
      </c>
      <c r="F29" s="27" t="n"/>
    </row>
    <row r="30">
      <c r="B30" s="26" t="n"/>
      <c r="C30" s="27" t="n"/>
      <c r="D30" s="27" t="n"/>
      <c r="E30" s="11" t="n">
        <v>0</v>
      </c>
      <c r="F30" s="27" t="n"/>
    </row>
    <row r="31">
      <c r="B31" s="26" t="n"/>
      <c r="C31" s="27" t="n"/>
      <c r="D31" s="27" t="n"/>
      <c r="E31" s="11" t="n">
        <v>0</v>
      </c>
      <c r="F31" s="27" t="n"/>
    </row>
    <row r="32">
      <c r="B32" s="26" t="n"/>
      <c r="C32" s="27" t="n"/>
      <c r="D32" s="27" t="n"/>
      <c r="E32" s="11" t="n">
        <v>0</v>
      </c>
      <c r="F32" s="27" t="n"/>
    </row>
    <row r="33">
      <c r="B33" s="26" t="n"/>
      <c r="C33" s="27" t="n"/>
      <c r="D33" s="27" t="n"/>
      <c r="E33" s="11" t="n">
        <v>0</v>
      </c>
      <c r="F33" s="27" t="n"/>
    </row>
    <row r="34">
      <c r="B34" s="26" t="n"/>
      <c r="C34" s="27" t="n"/>
      <c r="D34" s="27" t="n"/>
      <c r="E34" s="11" t="n">
        <v>0</v>
      </c>
      <c r="F34" s="27" t="n"/>
    </row>
    <row r="35">
      <c r="B35" s="26" t="n"/>
      <c r="C35" s="27" t="n"/>
      <c r="D35" s="27" t="n"/>
      <c r="E35" s="11" t="n">
        <v>0</v>
      </c>
      <c r="F35" s="27" t="n"/>
    </row>
    <row r="36">
      <c r="B36" s="26" t="n"/>
      <c r="C36" s="27" t="n"/>
      <c r="D36" s="27" t="n"/>
      <c r="E36" s="11" t="n">
        <v>0</v>
      </c>
      <c r="F36" s="27" t="n"/>
    </row>
    <row r="37">
      <c r="B37" s="26" t="n"/>
      <c r="C37" s="27" t="n"/>
      <c r="D37" s="27" t="n"/>
      <c r="E37" s="11" t="n">
        <v>0</v>
      </c>
      <c r="F37" s="27" t="n"/>
    </row>
    <row r="38">
      <c r="B38" s="26" t="n"/>
      <c r="C38" s="27" t="n"/>
      <c r="D38" s="27" t="n"/>
      <c r="E38" s="11" t="n">
        <v>0</v>
      </c>
      <c r="F38" s="27" t="n"/>
    </row>
    <row r="39">
      <c r="B39" s="26" t="n"/>
      <c r="C39" s="27" t="n"/>
      <c r="D39" s="27" t="n"/>
      <c r="E39" s="11" t="n">
        <v>0</v>
      </c>
      <c r="F39" s="27" t="n"/>
    </row>
    <row r="40">
      <c r="B40" s="26" t="n"/>
      <c r="C40" s="27" t="n"/>
      <c r="D40" s="27" t="n"/>
      <c r="E40" s="11" t="n">
        <v>0</v>
      </c>
      <c r="F40" s="27" t="n"/>
    </row>
    <row r="41">
      <c r="B41" s="26" t="n"/>
      <c r="C41" s="27" t="n"/>
      <c r="D41" s="27" t="n"/>
      <c r="E41" s="11" t="n">
        <v>0</v>
      </c>
      <c r="F41" s="27" t="n"/>
    </row>
    <row r="42">
      <c r="B42" s="26" t="n"/>
      <c r="C42" s="27" t="n"/>
      <c r="D42" s="27" t="n"/>
      <c r="E42" s="11" t="n">
        <v>0</v>
      </c>
      <c r="F42" s="27" t="n"/>
    </row>
    <row r="43">
      <c r="B43" s="26" t="n"/>
      <c r="C43" s="27" t="n"/>
      <c r="D43" s="27" t="n"/>
      <c r="E43" s="11" t="n">
        <v>0</v>
      </c>
      <c r="F43" s="27" t="n"/>
    </row>
    <row r="44">
      <c r="B44" s="26" t="n"/>
      <c r="C44" s="27" t="n"/>
      <c r="D44" s="27" t="n"/>
      <c r="E44" s="11" t="n">
        <v>0</v>
      </c>
      <c r="F44" s="27" t="n"/>
    </row>
    <row r="45">
      <c r="B45" s="26" t="n"/>
      <c r="C45" s="27" t="n"/>
      <c r="D45" s="27" t="n"/>
      <c r="E45" s="11" t="n">
        <v>0</v>
      </c>
      <c r="F45" s="27" t="n"/>
    </row>
    <row r="46">
      <c r="B46" s="26" t="n"/>
      <c r="C46" s="27" t="n"/>
      <c r="D46" s="27" t="n"/>
      <c r="E46" s="11" t="n">
        <v>0</v>
      </c>
      <c r="F46" s="27" t="n"/>
    </row>
    <row r="47">
      <c r="B47" s="26" t="n"/>
      <c r="C47" s="27" t="n"/>
      <c r="D47" s="27" t="n"/>
      <c r="E47" s="11" t="n">
        <v>0</v>
      </c>
      <c r="F47" s="27" t="n"/>
    </row>
    <row r="48">
      <c r="B48" s="26" t="n"/>
      <c r="C48" s="27" t="n"/>
      <c r="D48" s="27" t="n"/>
      <c r="E48" s="11" t="n">
        <v>0</v>
      </c>
      <c r="F48" s="27" t="n"/>
    </row>
    <row r="49">
      <c r="B49" s="26" t="n"/>
      <c r="C49" s="27" t="n"/>
      <c r="D49" s="27" t="n"/>
      <c r="E49" s="11" t="n">
        <v>0</v>
      </c>
      <c r="F49" s="27" t="n"/>
    </row>
    <row r="50">
      <c r="B50" s="26" t="n"/>
      <c r="C50" s="27" t="n"/>
      <c r="D50" s="27" t="n"/>
      <c r="E50" s="11" t="n">
        <v>0</v>
      </c>
      <c r="F50" s="27" t="n"/>
    </row>
    <row r="51">
      <c r="B51" s="26" t="n"/>
      <c r="C51" s="27" t="n"/>
      <c r="D51" s="27" t="n"/>
      <c r="E51" s="11" t="n">
        <v>0</v>
      </c>
      <c r="F51" s="27" t="n"/>
    </row>
    <row r="52">
      <c r="B52" s="26" t="n"/>
      <c r="C52" s="27" t="n"/>
      <c r="D52" s="27" t="n"/>
      <c r="E52" s="11" t="n">
        <v>0</v>
      </c>
      <c r="F52" s="27" t="n"/>
    </row>
    <row r="53">
      <c r="B53" s="26" t="n"/>
      <c r="C53" s="27" t="n"/>
      <c r="D53" s="27" t="n"/>
      <c r="E53" s="11" t="n">
        <v>0</v>
      </c>
      <c r="F53" s="27" t="n"/>
    </row>
    <row r="54">
      <c r="B54" s="26" t="n"/>
      <c r="C54" s="27" t="n"/>
      <c r="D54" s="27" t="n"/>
      <c r="E54" s="11" t="n">
        <v>0</v>
      </c>
      <c r="F54" s="27" t="n"/>
    </row>
    <row r="55">
      <c r="B55" s="26" t="n"/>
      <c r="C55" s="27" t="n"/>
      <c r="D55" s="27" t="n"/>
      <c r="E55" s="11" t="n">
        <v>0</v>
      </c>
      <c r="F55" s="27" t="n"/>
    </row>
    <row r="56">
      <c r="B56" s="26" t="n"/>
      <c r="C56" s="27" t="n"/>
      <c r="D56" s="27" t="n"/>
      <c r="E56" s="11" t="n">
        <v>0</v>
      </c>
      <c r="F56" s="27" t="n"/>
    </row>
    <row r="57">
      <c r="B57" s="26" t="n"/>
      <c r="C57" s="27" t="n"/>
      <c r="D57" s="27" t="n"/>
      <c r="E57" s="11" t="n">
        <v>0</v>
      </c>
      <c r="F57" s="27" t="n"/>
    </row>
    <row r="58">
      <c r="B58" s="26" t="n"/>
      <c r="C58" s="27" t="n"/>
      <c r="D58" s="27" t="n"/>
      <c r="E58" s="11" t="n">
        <v>0</v>
      </c>
      <c r="F58" s="27" t="n"/>
    </row>
    <row r="59">
      <c r="B59" s="26" t="n"/>
      <c r="C59" s="27" t="n"/>
      <c r="D59" s="27" t="n"/>
      <c r="E59" s="11" t="n">
        <v>0</v>
      </c>
      <c r="F59" s="27" t="n"/>
    </row>
    <row r="60">
      <c r="B60" s="26" t="n"/>
      <c r="C60" s="27" t="n"/>
      <c r="D60" s="27" t="n"/>
      <c r="E60" s="11" t="n">
        <v>0</v>
      </c>
      <c r="F60" s="27" t="n"/>
    </row>
    <row r="61">
      <c r="B61" s="26" t="n"/>
      <c r="C61" s="27" t="n"/>
      <c r="D61" s="27" t="n"/>
      <c r="E61" s="11" t="n">
        <v>0</v>
      </c>
      <c r="F61" s="27" t="n"/>
    </row>
    <row r="62">
      <c r="B62" s="26" t="n"/>
      <c r="C62" s="27" t="n"/>
      <c r="D62" s="27" t="n"/>
      <c r="E62" s="11" t="n">
        <v>0</v>
      </c>
      <c r="F62" s="27" t="n"/>
    </row>
    <row r="63">
      <c r="B63" s="26" t="n"/>
      <c r="C63" s="27" t="n"/>
      <c r="D63" s="27" t="n"/>
      <c r="E63" s="11" t="n">
        <v>0</v>
      </c>
      <c r="F63" s="27" t="n"/>
    </row>
    <row r="64">
      <c r="B64" s="26" t="n"/>
      <c r="C64" s="27" t="n"/>
      <c r="D64" s="27" t="n"/>
      <c r="E64" s="11" t="n">
        <v>0</v>
      </c>
      <c r="F64" s="27" t="n"/>
    </row>
    <row r="65">
      <c r="B65" s="26" t="n"/>
      <c r="C65" s="27" t="n"/>
      <c r="D65" s="27" t="n"/>
      <c r="E65" s="11" t="n">
        <v>0</v>
      </c>
      <c r="F65" s="27" t="n"/>
    </row>
    <row r="66">
      <c r="B66" s="26" t="n"/>
      <c r="C66" s="27" t="n"/>
      <c r="D66" s="27" t="n"/>
      <c r="E66" s="11" t="n">
        <v>0</v>
      </c>
      <c r="F66" s="27" t="n"/>
    </row>
    <row r="67">
      <c r="B67" s="26" t="n"/>
      <c r="C67" s="27" t="n"/>
      <c r="D67" s="27" t="n"/>
      <c r="E67" s="11" t="n">
        <v>0</v>
      </c>
      <c r="F67" s="27" t="n"/>
    </row>
    <row r="68">
      <c r="B68" s="26" t="n"/>
      <c r="C68" s="27" t="n"/>
      <c r="D68" s="27" t="n"/>
      <c r="E68" s="11" t="n">
        <v>0</v>
      </c>
      <c r="F68" s="27" t="n"/>
    </row>
    <row r="69">
      <c r="B69" s="26" t="n"/>
      <c r="C69" s="27" t="n"/>
      <c r="D69" s="27" t="n"/>
      <c r="E69" s="11" t="n">
        <v>0</v>
      </c>
      <c r="F69" s="27" t="n"/>
    </row>
    <row r="70">
      <c r="B70" s="26" t="n"/>
      <c r="C70" s="27" t="n"/>
      <c r="D70" s="27" t="n"/>
      <c r="E70" s="11" t="n">
        <v>0</v>
      </c>
      <c r="F70" s="27" t="n"/>
    </row>
    <row r="71">
      <c r="B71" s="26" t="n"/>
      <c r="C71" s="27" t="n"/>
      <c r="D71" s="27" t="n"/>
      <c r="E71" s="11" t="n">
        <v>0</v>
      </c>
      <c r="F71" s="27" t="n"/>
    </row>
    <row r="72">
      <c r="B72" s="26" t="n"/>
      <c r="C72" s="27" t="n"/>
      <c r="D72" s="27" t="n"/>
      <c r="E72" s="11" t="n">
        <v>0</v>
      </c>
      <c r="F72" s="27" t="n"/>
    </row>
    <row r="73">
      <c r="B73" s="26" t="n"/>
      <c r="C73" s="27" t="n"/>
      <c r="D73" s="27" t="n"/>
      <c r="E73" s="11" t="n">
        <v>0</v>
      </c>
      <c r="F73" s="27" t="n"/>
    </row>
    <row r="74">
      <c r="B74" s="26" t="n"/>
      <c r="C74" s="27" t="n"/>
      <c r="D74" s="27" t="n"/>
      <c r="E74" s="11" t="n">
        <v>0</v>
      </c>
      <c r="F74" s="27" t="n"/>
    </row>
    <row r="75">
      <c r="B75" s="26" t="n"/>
      <c r="C75" s="27" t="n"/>
      <c r="D75" s="27" t="n"/>
      <c r="E75" s="11" t="n">
        <v>0</v>
      </c>
      <c r="F75" s="27" t="n"/>
    </row>
    <row r="76">
      <c r="B76" s="26" t="n"/>
      <c r="C76" s="27" t="n"/>
      <c r="D76" s="27" t="n"/>
      <c r="E76" s="11" t="n">
        <v>0</v>
      </c>
      <c r="F76" s="27" t="n"/>
    </row>
    <row r="77">
      <c r="B77" s="26" t="n"/>
      <c r="C77" s="27" t="n"/>
      <c r="D77" s="27" t="n"/>
      <c r="E77" s="11" t="n">
        <v>0</v>
      </c>
      <c r="F77" s="27" t="n"/>
    </row>
    <row r="78">
      <c r="B78" s="26" t="n"/>
      <c r="C78" s="27" t="n"/>
      <c r="D78" s="27" t="n"/>
      <c r="E78" s="11" t="n">
        <v>0</v>
      </c>
      <c r="F78" s="27" t="n"/>
    </row>
    <row r="79">
      <c r="B79" s="26" t="n"/>
      <c r="C79" s="27" t="n"/>
      <c r="D79" s="27" t="n"/>
      <c r="E79" s="11" t="n">
        <v>0</v>
      </c>
      <c r="F79" s="27" t="n"/>
    </row>
    <row r="80">
      <c r="B80" s="26" t="n"/>
      <c r="C80" s="27" t="n"/>
      <c r="D80" s="27" t="n"/>
      <c r="E80" s="11" t="n">
        <v>0</v>
      </c>
      <c r="F80" s="27" t="n"/>
    </row>
    <row r="81">
      <c r="B81" s="26" t="n"/>
      <c r="C81" s="27" t="n"/>
      <c r="D81" s="27" t="n"/>
      <c r="E81" s="11" t="n">
        <v>0</v>
      </c>
      <c r="F81" s="27" t="n"/>
    </row>
    <row r="82">
      <c r="B82" s="26" t="n"/>
      <c r="C82" s="27" t="n"/>
      <c r="D82" s="27" t="n"/>
      <c r="E82" s="11" t="n">
        <v>0</v>
      </c>
      <c r="F82" s="27" t="n"/>
    </row>
    <row r="83">
      <c r="B83" s="26" t="n"/>
      <c r="C83" s="27" t="n"/>
      <c r="D83" s="27" t="n"/>
      <c r="E83" s="11" t="n">
        <v>0</v>
      </c>
      <c r="F83" s="27" t="n"/>
    </row>
    <row r="84">
      <c r="B84" s="26" t="n"/>
      <c r="C84" s="27" t="n"/>
      <c r="D84" s="27" t="n"/>
      <c r="E84" s="11" t="n">
        <v>0</v>
      </c>
      <c r="F84" s="27" t="n"/>
    </row>
    <row r="85">
      <c r="B85" s="26" t="n"/>
      <c r="C85" s="27" t="n"/>
      <c r="D85" s="27" t="n"/>
      <c r="E85" s="11" t="n">
        <v>0</v>
      </c>
      <c r="F85" s="27" t="n"/>
    </row>
    <row r="86">
      <c r="B86" s="26" t="n"/>
      <c r="C86" s="27" t="n"/>
      <c r="D86" s="27" t="n"/>
      <c r="E86" s="11" t="n">
        <v>0</v>
      </c>
      <c r="F86" s="27" t="n"/>
    </row>
    <row r="87">
      <c r="B87" s="26" t="n"/>
      <c r="C87" s="27" t="n"/>
      <c r="D87" s="27" t="n"/>
      <c r="E87" s="11" t="n">
        <v>0</v>
      </c>
      <c r="F87" s="27" t="n"/>
    </row>
    <row r="88">
      <c r="B88" s="26" t="n"/>
      <c r="C88" s="27" t="n"/>
      <c r="D88" s="27" t="n"/>
      <c r="E88" s="11" t="n">
        <v>0</v>
      </c>
      <c r="F88" s="27" t="n"/>
    </row>
    <row r="89">
      <c r="B89" s="26" t="n"/>
      <c r="C89" s="27" t="n"/>
      <c r="D89" s="27" t="n"/>
      <c r="E89" s="11" t="n">
        <v>0</v>
      </c>
      <c r="F89" s="27" t="n"/>
    </row>
    <row r="90">
      <c r="B90" s="26" t="n"/>
      <c r="C90" s="27" t="n"/>
      <c r="D90" s="27" t="n"/>
      <c r="E90" s="11" t="n">
        <v>0</v>
      </c>
      <c r="F90" s="27" t="n"/>
    </row>
    <row r="91">
      <c r="B91" s="26" t="n"/>
      <c r="C91" s="27" t="n"/>
      <c r="D91" s="27" t="n"/>
      <c r="E91" s="11" t="n">
        <v>0</v>
      </c>
      <c r="F91" s="27" t="n"/>
    </row>
    <row r="92">
      <c r="B92" s="26" t="n"/>
      <c r="C92" s="27" t="n"/>
      <c r="D92" s="27" t="n"/>
      <c r="E92" s="11" t="n">
        <v>0</v>
      </c>
      <c r="F92" s="27" t="n"/>
    </row>
    <row r="93">
      <c r="B93" s="26" t="n"/>
      <c r="C93" s="27" t="n"/>
      <c r="D93" s="27" t="n"/>
      <c r="E93" s="11" t="n">
        <v>0</v>
      </c>
      <c r="F93" s="27" t="n"/>
    </row>
    <row r="94">
      <c r="B94" s="26" t="n"/>
      <c r="C94" s="27" t="n"/>
      <c r="D94" s="27" t="n"/>
      <c r="E94" s="11" t="n">
        <v>0</v>
      </c>
      <c r="F94" s="27" t="n"/>
    </row>
    <row r="95">
      <c r="B95" s="26" t="n"/>
      <c r="C95" s="27" t="n"/>
      <c r="D95" s="27" t="n"/>
      <c r="E95" s="11" t="n">
        <v>0</v>
      </c>
      <c r="F95" s="27" t="n"/>
    </row>
    <row r="96">
      <c r="B96" s="26" t="n"/>
      <c r="C96" s="27" t="n"/>
      <c r="D96" s="27" t="n"/>
      <c r="E96" s="11" t="n">
        <v>0</v>
      </c>
      <c r="F96" s="27" t="n"/>
    </row>
    <row r="97">
      <c r="B97" s="26" t="n"/>
      <c r="C97" s="27" t="n"/>
      <c r="D97" s="27" t="n"/>
      <c r="E97" s="11" t="n">
        <v>0</v>
      </c>
      <c r="F97" s="27" t="n"/>
    </row>
    <row r="98">
      <c r="B98" s="26" t="n"/>
      <c r="C98" s="27" t="n"/>
      <c r="D98" s="27" t="n"/>
      <c r="E98" s="11" t="n">
        <v>0</v>
      </c>
      <c r="F98" s="27" t="n"/>
    </row>
    <row r="99">
      <c r="B99" s="26" t="n"/>
      <c r="C99" s="27" t="n"/>
      <c r="D99" s="27" t="n"/>
      <c r="E99" s="11" t="n">
        <v>0</v>
      </c>
      <c r="F99" s="27" t="n"/>
    </row>
    <row r="100">
      <c r="B100" s="26" t="n"/>
      <c r="C100" s="27" t="n"/>
      <c r="D100" s="27" t="n"/>
      <c r="E100" s="11" t="n">
        <v>0</v>
      </c>
      <c r="F100" s="27" t="n"/>
    </row>
    <row r="101">
      <c r="B101" s="26" t="n"/>
      <c r="C101" s="27" t="n"/>
      <c r="D101" s="27" t="n"/>
      <c r="E101" s="11" t="n">
        <v>0</v>
      </c>
      <c r="F101" s="27" t="n"/>
    </row>
    <row r="102">
      <c r="B102" s="26" t="n"/>
      <c r="C102" s="27" t="n"/>
      <c r="D102" s="27" t="n"/>
      <c r="E102" s="11" t="n">
        <v>0</v>
      </c>
      <c r="F102" s="27" t="n"/>
    </row>
    <row r="103">
      <c r="B103" s="26" t="n"/>
      <c r="C103" s="27" t="n"/>
      <c r="D103" s="27" t="n"/>
      <c r="E103" s="11" t="n">
        <v>0</v>
      </c>
      <c r="F103" s="27" t="n"/>
    </row>
    <row r="104">
      <c r="B104" s="26" t="n"/>
      <c r="C104" s="27" t="n"/>
      <c r="D104" s="27" t="n"/>
      <c r="E104" s="11" t="n">
        <v>0</v>
      </c>
      <c r="F104" s="27" t="n"/>
    </row>
    <row r="106">
      <c r="B106" s="28" t="inlineStr">
        <is>
          <t>YHTEENVETO</t>
        </is>
      </c>
    </row>
    <row r="107">
      <c r="B107" t="inlineStr">
        <is>
          <t>Tulot yhteensä</t>
        </is>
      </c>
      <c r="E107" s="21">
        <f>SUMIF(F5:F104,"Tulo",E5:E104)</f>
        <v/>
      </c>
    </row>
    <row r="108">
      <c r="B108" t="inlineStr">
        <is>
          <t>Menot yhteensä</t>
        </is>
      </c>
      <c r="E108" s="22">
        <f>SUMIF(F5:F104,"Meno",E5:E104)</f>
        <v/>
      </c>
    </row>
    <row r="109">
      <c r="B109" t="inlineStr">
        <is>
          <t>Nettokassavirta</t>
        </is>
      </c>
      <c r="E109" s="29">
        <f>E107-E108</f>
        <v/>
      </c>
    </row>
  </sheetData>
  <mergeCells count="2">
    <mergeCell ref="B2:F2"/>
    <mergeCell ref="B106:F10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15" customWidth="1" min="8" max="8"/>
  </cols>
  <sheetData>
    <row r="2">
      <c r="B2" s="7" t="inlineStr">
        <is>
          <t>Velkaseuranta</t>
        </is>
      </c>
    </row>
    <row r="4">
      <c r="B4" s="30" t="inlineStr">
        <is>
          <t>Velan nimi</t>
        </is>
      </c>
      <c r="C4" s="30" t="inlineStr">
        <is>
          <t>Alkuperäinen saldo</t>
        </is>
      </c>
      <c r="D4" s="30" t="inlineStr">
        <is>
          <t>Nykyinen saldo</t>
        </is>
      </c>
      <c r="E4" s="30" t="inlineStr">
        <is>
          <t>Korko %</t>
        </is>
      </c>
      <c r="F4" s="30" t="inlineStr">
        <is>
          <t>Kuukausierä</t>
        </is>
      </c>
      <c r="G4" s="30" t="inlineStr">
        <is>
          <t>Jäljellä (kk)</t>
        </is>
      </c>
      <c r="H4" s="30" t="inlineStr">
        <is>
          <t>Kokonaiskorko</t>
        </is>
      </c>
    </row>
    <row r="5">
      <c r="B5" s="27" t="inlineStr">
        <is>
          <t>Velka 1</t>
        </is>
      </c>
      <c r="C5" s="11" t="n">
        <v>0</v>
      </c>
      <c r="D5" s="11" t="n">
        <v>0</v>
      </c>
      <c r="E5" s="31" t="n">
        <v>0</v>
      </c>
      <c r="F5" s="11" t="n">
        <v>0</v>
      </c>
      <c r="G5" s="32">
        <f>IF(F5=0,0,D5/F5)</f>
        <v/>
      </c>
      <c r="H5" s="33">
        <f>IF(D5=0,0,(F5*G5)-D5)</f>
        <v/>
      </c>
    </row>
    <row r="6">
      <c r="B6" s="27" t="inlineStr">
        <is>
          <t>Velka 2</t>
        </is>
      </c>
      <c r="C6" s="11" t="n">
        <v>0</v>
      </c>
      <c r="D6" s="11" t="n">
        <v>0</v>
      </c>
      <c r="E6" s="31" t="n">
        <v>0</v>
      </c>
      <c r="F6" s="11" t="n">
        <v>0</v>
      </c>
      <c r="G6" s="32">
        <f>IF(F6=0,0,D6/F6)</f>
        <v/>
      </c>
      <c r="H6" s="33">
        <f>IF(D6=0,0,(F6*G6)-D6)</f>
        <v/>
      </c>
    </row>
    <row r="7">
      <c r="B7" s="27" t="inlineStr">
        <is>
          <t>Velka 3</t>
        </is>
      </c>
      <c r="C7" s="11" t="n">
        <v>0</v>
      </c>
      <c r="D7" s="11" t="n">
        <v>0</v>
      </c>
      <c r="E7" s="31" t="n">
        <v>0</v>
      </c>
      <c r="F7" s="11" t="n">
        <v>0</v>
      </c>
      <c r="G7" s="32">
        <f>IF(F7=0,0,D7/F7)</f>
        <v/>
      </c>
      <c r="H7" s="33">
        <f>IF(D7=0,0,(F7*G7)-D7)</f>
        <v/>
      </c>
    </row>
    <row r="8">
      <c r="B8" s="27" t="inlineStr">
        <is>
          <t>Velka 4</t>
        </is>
      </c>
      <c r="C8" s="11" t="n">
        <v>0</v>
      </c>
      <c r="D8" s="11" t="n">
        <v>0</v>
      </c>
      <c r="E8" s="31" t="n">
        <v>0</v>
      </c>
      <c r="F8" s="11" t="n">
        <v>0</v>
      </c>
      <c r="G8" s="32">
        <f>IF(F8=0,0,D8/F8)</f>
        <v/>
      </c>
      <c r="H8" s="33">
        <f>IF(D8=0,0,(F8*G8)-D8)</f>
        <v/>
      </c>
    </row>
    <row r="9">
      <c r="B9" s="27" t="inlineStr">
        <is>
          <t>Velka 5</t>
        </is>
      </c>
      <c r="C9" s="11" t="n">
        <v>0</v>
      </c>
      <c r="D9" s="11" t="n">
        <v>0</v>
      </c>
      <c r="E9" s="31" t="n">
        <v>0</v>
      </c>
      <c r="F9" s="11" t="n">
        <v>0</v>
      </c>
      <c r="G9" s="32">
        <f>IF(F9=0,0,D9/F9)</f>
        <v/>
      </c>
      <c r="H9" s="33">
        <f>IF(D9=0,0,(F9*G9)-D9)</f>
        <v/>
      </c>
    </row>
    <row r="10">
      <c r="B10" s="27" t="inlineStr">
        <is>
          <t>Velka 6</t>
        </is>
      </c>
      <c r="C10" s="11" t="n">
        <v>0</v>
      </c>
      <c r="D10" s="11" t="n">
        <v>0</v>
      </c>
      <c r="E10" s="31" t="n">
        <v>0</v>
      </c>
      <c r="F10" s="11" t="n">
        <v>0</v>
      </c>
      <c r="G10" s="32">
        <f>IF(F10=0,0,D10/F10)</f>
        <v/>
      </c>
      <c r="H10" s="33">
        <f>IF(D10=0,0,(F10*G10)-D10)</f>
        <v/>
      </c>
    </row>
    <row r="11">
      <c r="B11" s="27" t="inlineStr">
        <is>
          <t>Velka 7</t>
        </is>
      </c>
      <c r="C11" s="11" t="n">
        <v>0</v>
      </c>
      <c r="D11" s="11" t="n">
        <v>0</v>
      </c>
      <c r="E11" s="31" t="n">
        <v>0</v>
      </c>
      <c r="F11" s="11" t="n">
        <v>0</v>
      </c>
      <c r="G11" s="32">
        <f>IF(F11=0,0,D11/F11)</f>
        <v/>
      </c>
      <c r="H11" s="33">
        <f>IF(D11=0,0,(F11*G11)-D11)</f>
        <v/>
      </c>
    </row>
    <row r="12">
      <c r="B12" s="27" t="inlineStr">
        <is>
          <t>Velka 8</t>
        </is>
      </c>
      <c r="C12" s="11" t="n">
        <v>0</v>
      </c>
      <c r="D12" s="11" t="n">
        <v>0</v>
      </c>
      <c r="E12" s="31" t="n">
        <v>0</v>
      </c>
      <c r="F12" s="11" t="n">
        <v>0</v>
      </c>
      <c r="G12" s="32">
        <f>IF(F12=0,0,D12/F12)</f>
        <v/>
      </c>
      <c r="H12" s="33">
        <f>IF(D12=0,0,(F12*G12)-D12)</f>
        <v/>
      </c>
    </row>
    <row r="13">
      <c r="B13" s="27" t="inlineStr">
        <is>
          <t>Velka 9</t>
        </is>
      </c>
      <c r="C13" s="11" t="n">
        <v>0</v>
      </c>
      <c r="D13" s="11" t="n">
        <v>0</v>
      </c>
      <c r="E13" s="31" t="n">
        <v>0</v>
      </c>
      <c r="F13" s="11" t="n">
        <v>0</v>
      </c>
      <c r="G13" s="32">
        <f>IF(F13=0,0,D13/F13)</f>
        <v/>
      </c>
      <c r="H13" s="33">
        <f>IF(D13=0,0,(F13*G13)-D13)</f>
        <v/>
      </c>
    </row>
    <row r="14">
      <c r="B14" s="27" t="inlineStr">
        <is>
          <t>Velka 10</t>
        </is>
      </c>
      <c r="C14" s="11" t="n">
        <v>0</v>
      </c>
      <c r="D14" s="11" t="n">
        <v>0</v>
      </c>
      <c r="E14" s="31" t="n">
        <v>0</v>
      </c>
      <c r="F14" s="11" t="n">
        <v>0</v>
      </c>
      <c r="G14" s="32">
        <f>IF(F14=0,0,D14/F14)</f>
        <v/>
      </c>
      <c r="H14" s="33">
        <f>IF(D14=0,0,(F14*G14)-D14)</f>
        <v/>
      </c>
    </row>
    <row r="16">
      <c r="B16" s="28" t="inlineStr">
        <is>
          <t>YHTEENVETO</t>
        </is>
      </c>
    </row>
    <row r="17">
      <c r="B17" t="inlineStr">
        <is>
          <t>Velat yhteensä</t>
        </is>
      </c>
      <c r="D17" s="34">
        <f>SUM(D5:D14)</f>
        <v/>
      </c>
    </row>
    <row r="18">
      <c r="B18" t="inlineStr">
        <is>
          <t>Kuukausierät yhteensä</t>
        </is>
      </c>
      <c r="D18" s="34">
        <f>SUM(F5:F14)</f>
        <v/>
      </c>
    </row>
    <row r="19">
      <c r="B19" t="inlineStr">
        <is>
          <t>Kokonaiskorot</t>
        </is>
      </c>
      <c r="D19" s="34">
        <f>SUM(H5:H14)</f>
        <v/>
      </c>
    </row>
    <row r="20">
      <c r="B20" t="inlineStr">
        <is>
          <t>Keskimääräinen korko</t>
        </is>
      </c>
      <c r="D20" s="35">
        <f>AVERAGE(E5:E14)</f>
        <v/>
      </c>
    </row>
  </sheetData>
  <mergeCells count="2">
    <mergeCell ref="B16:H16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7" t="inlineStr">
        <is>
          <t>Säästötavoitteet</t>
        </is>
      </c>
    </row>
    <row r="4">
      <c r="B4" s="36" t="inlineStr">
        <is>
          <t>Tavoite</t>
        </is>
      </c>
      <c r="C4" s="36" t="inlineStr">
        <is>
          <t>Tavoitesumma</t>
        </is>
      </c>
      <c r="D4" s="36" t="inlineStr">
        <is>
          <t>Säästetty</t>
        </is>
      </c>
      <c r="E4" s="36" t="inlineStr">
        <is>
          <t>Jäljellä</t>
        </is>
      </c>
      <c r="F4" s="36" t="inlineStr">
        <is>
          <t>Kuukausia jäljellä</t>
        </is>
      </c>
      <c r="G4" s="36" t="inlineStr">
        <is>
          <t>Kuukausisäästö</t>
        </is>
      </c>
    </row>
    <row r="5">
      <c r="B5" s="27" t="inlineStr">
        <is>
          <t>Tavoite 1</t>
        </is>
      </c>
      <c r="C5" s="11" t="n">
        <v>0</v>
      </c>
      <c r="D5" s="11" t="n">
        <v>0</v>
      </c>
      <c r="E5" s="33">
        <f>C5-D5</f>
        <v/>
      </c>
      <c r="F5" s="27" t="n">
        <v>0</v>
      </c>
      <c r="G5" s="33">
        <f>IF(F5=0,0,E5/F5)</f>
        <v/>
      </c>
    </row>
    <row r="6">
      <c r="B6" s="27" t="inlineStr">
        <is>
          <t>Tavoite 2</t>
        </is>
      </c>
      <c r="C6" s="11" t="n">
        <v>0</v>
      </c>
      <c r="D6" s="11" t="n">
        <v>0</v>
      </c>
      <c r="E6" s="33">
        <f>C6-D6</f>
        <v/>
      </c>
      <c r="F6" s="27" t="n">
        <v>0</v>
      </c>
      <c r="G6" s="33">
        <f>IF(F6=0,0,E6/F6)</f>
        <v/>
      </c>
    </row>
    <row r="7">
      <c r="B7" s="27" t="inlineStr">
        <is>
          <t>Tavoite 3</t>
        </is>
      </c>
      <c r="C7" s="11" t="n">
        <v>0</v>
      </c>
      <c r="D7" s="11" t="n">
        <v>0</v>
      </c>
      <c r="E7" s="33">
        <f>C7-D7</f>
        <v/>
      </c>
      <c r="F7" s="27" t="n">
        <v>0</v>
      </c>
      <c r="G7" s="33">
        <f>IF(F7=0,0,E7/F7)</f>
        <v/>
      </c>
    </row>
    <row r="8">
      <c r="B8" s="27" t="inlineStr">
        <is>
          <t>Tavoite 4</t>
        </is>
      </c>
      <c r="C8" s="11" t="n">
        <v>0</v>
      </c>
      <c r="D8" s="11" t="n">
        <v>0</v>
      </c>
      <c r="E8" s="33">
        <f>C8-D8</f>
        <v/>
      </c>
      <c r="F8" s="27" t="n">
        <v>0</v>
      </c>
      <c r="G8" s="33">
        <f>IF(F8=0,0,E8/F8)</f>
        <v/>
      </c>
    </row>
    <row r="9">
      <c r="B9" s="27" t="inlineStr">
        <is>
          <t>Tavoite 5</t>
        </is>
      </c>
      <c r="C9" s="11" t="n">
        <v>0</v>
      </c>
      <c r="D9" s="11" t="n">
        <v>0</v>
      </c>
      <c r="E9" s="33">
        <f>C9-D9</f>
        <v/>
      </c>
      <c r="F9" s="27" t="n">
        <v>0</v>
      </c>
      <c r="G9" s="33">
        <f>IF(F9=0,0,E9/F9)</f>
        <v/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2">
      <c r="B2" s="7" t="inlineStr">
        <is>
          <t>Vuosikatsaus</t>
        </is>
      </c>
    </row>
    <row r="4">
      <c r="B4" s="37" t="inlineStr">
        <is>
          <t>Kuukausi</t>
        </is>
      </c>
      <c r="C4" s="37" t="inlineStr">
        <is>
          <t>Tulot</t>
        </is>
      </c>
      <c r="D4" s="37" t="inlineStr">
        <is>
          <t>Menot</t>
        </is>
      </c>
      <c r="E4" s="37" t="inlineStr">
        <is>
          <t>Säästö/Alijäämä</t>
        </is>
      </c>
    </row>
    <row r="5">
      <c r="B5" t="inlineStr">
        <is>
          <t>Tammikuu</t>
        </is>
      </c>
      <c r="C5" s="11" t="n">
        <v>0</v>
      </c>
      <c r="D5" s="11" t="n">
        <v>0</v>
      </c>
      <c r="E5" s="33">
        <f>C5-D5</f>
        <v/>
      </c>
    </row>
    <row r="6">
      <c r="B6" t="inlineStr">
        <is>
          <t>Helmikuu</t>
        </is>
      </c>
      <c r="C6" s="11" t="n">
        <v>0</v>
      </c>
      <c r="D6" s="11" t="n">
        <v>0</v>
      </c>
      <c r="E6" s="33">
        <f>C6-D6</f>
        <v/>
      </c>
    </row>
    <row r="7">
      <c r="B7" t="inlineStr">
        <is>
          <t>Maaliskuu</t>
        </is>
      </c>
      <c r="C7" s="11" t="n">
        <v>0</v>
      </c>
      <c r="D7" s="11" t="n">
        <v>0</v>
      </c>
      <c r="E7" s="33">
        <f>C7-D7</f>
        <v/>
      </c>
    </row>
    <row r="8">
      <c r="B8" t="inlineStr">
        <is>
          <t>Huhtikuu</t>
        </is>
      </c>
      <c r="C8" s="11" t="n">
        <v>0</v>
      </c>
      <c r="D8" s="11" t="n">
        <v>0</v>
      </c>
      <c r="E8" s="33">
        <f>C8-D8</f>
        <v/>
      </c>
    </row>
    <row r="9">
      <c r="B9" t="inlineStr">
        <is>
          <t>Toukokuu</t>
        </is>
      </c>
      <c r="C9" s="11" t="n">
        <v>0</v>
      </c>
      <c r="D9" s="11" t="n">
        <v>0</v>
      </c>
      <c r="E9" s="33">
        <f>C9-D9</f>
        <v/>
      </c>
    </row>
    <row r="10">
      <c r="B10" t="inlineStr">
        <is>
          <t>Kesäkuu</t>
        </is>
      </c>
      <c r="C10" s="11" t="n">
        <v>0</v>
      </c>
      <c r="D10" s="11" t="n">
        <v>0</v>
      </c>
      <c r="E10" s="33">
        <f>C10-D10</f>
        <v/>
      </c>
    </row>
    <row r="11">
      <c r="B11" t="inlineStr">
        <is>
          <t>Heinäkuu</t>
        </is>
      </c>
      <c r="C11" s="11" t="n">
        <v>0</v>
      </c>
      <c r="D11" s="11" t="n">
        <v>0</v>
      </c>
      <c r="E11" s="33">
        <f>C11-D11</f>
        <v/>
      </c>
    </row>
    <row r="12">
      <c r="B12" t="inlineStr">
        <is>
          <t>Elokuu</t>
        </is>
      </c>
      <c r="C12" s="11" t="n">
        <v>0</v>
      </c>
      <c r="D12" s="11" t="n">
        <v>0</v>
      </c>
      <c r="E12" s="33">
        <f>C12-D12</f>
        <v/>
      </c>
    </row>
    <row r="13">
      <c r="B13" t="inlineStr">
        <is>
          <t>Syyskuu</t>
        </is>
      </c>
      <c r="C13" s="11" t="n">
        <v>0</v>
      </c>
      <c r="D13" s="11" t="n">
        <v>0</v>
      </c>
      <c r="E13" s="33">
        <f>C13-D13</f>
        <v/>
      </c>
    </row>
    <row r="14">
      <c r="B14" t="inlineStr">
        <is>
          <t>Lokakuu</t>
        </is>
      </c>
      <c r="C14" s="11" t="n">
        <v>0</v>
      </c>
      <c r="D14" s="11" t="n">
        <v>0</v>
      </c>
      <c r="E14" s="33">
        <f>C14-D14</f>
        <v/>
      </c>
    </row>
    <row r="15">
      <c r="B15" t="inlineStr">
        <is>
          <t>Marraskuu</t>
        </is>
      </c>
      <c r="C15" s="11" t="n">
        <v>0</v>
      </c>
      <c r="D15" s="11" t="n">
        <v>0</v>
      </c>
      <c r="E15" s="33">
        <f>C15-D15</f>
        <v/>
      </c>
    </row>
    <row r="16">
      <c r="B16" t="inlineStr">
        <is>
          <t>Joulukuu</t>
        </is>
      </c>
      <c r="C16" s="11" t="n">
        <v>0</v>
      </c>
      <c r="D16" s="11" t="n">
        <v>0</v>
      </c>
      <c r="E16" s="33">
        <f>C16-D16</f>
        <v/>
      </c>
    </row>
    <row r="17">
      <c r="B17" s="38" t="inlineStr">
        <is>
          <t>VUOSI YHTEENSÄ</t>
        </is>
      </c>
      <c r="C17" s="39">
        <f>SUM(C5:C16)</f>
        <v/>
      </c>
      <c r="D17" s="34">
        <f>SUM(D5:D16)</f>
        <v/>
      </c>
      <c r="E17" s="29">
        <f>SUM(E5:E16)</f>
        <v/>
      </c>
    </row>
  </sheetData>
  <mergeCells count="1"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" customWidth="1" min="3" max="3"/>
    <col width="15" customWidth="1" min="4" max="4"/>
  </cols>
  <sheetData>
    <row r="2">
      <c r="B2" s="7" t="inlineStr">
        <is>
          <t>Automaattiset raportit</t>
        </is>
      </c>
    </row>
    <row r="4">
      <c r="B4" s="17" t="inlineStr">
        <is>
          <t>Tämä välilehti päivittyy automaattisesti syöttämiesi tietojen perusteella.</t>
        </is>
      </c>
    </row>
    <row r="6">
      <c r="B6" s="28" t="inlineStr">
        <is>
          <t>TALOUDELLISET MITTARIT</t>
        </is>
      </c>
    </row>
    <row r="7">
      <c r="B7" t="inlineStr">
        <is>
          <t>Kuukausittainen kassavirta</t>
        </is>
      </c>
      <c r="D7" s="33">
        <f>'💰 Kuukausittainen budjetti'!C11-'💰 Kuukausittainen budjetti'!C42</f>
        <v/>
      </c>
    </row>
    <row r="8">
      <c r="B8" t="inlineStr">
        <is>
          <t>Säästöaste</t>
        </is>
      </c>
      <c r="D8" s="40">
        <f>'💰 Kuukausittainen budjetti'!C45</f>
        <v/>
      </c>
    </row>
    <row r="9">
      <c r="B9" t="inlineStr">
        <is>
          <t>Velat yhteensä</t>
        </is>
      </c>
      <c r="D9" s="33">
        <f>'💳 Velkaseuranta'!D17</f>
        <v/>
      </c>
    </row>
    <row r="10">
      <c r="B10" t="inlineStr">
        <is>
          <t>Kuukausittaiset velkaerät</t>
        </is>
      </c>
      <c r="D10" s="33">
        <f>'💳 Velkaseuranta'!D18</f>
        <v/>
      </c>
    </row>
    <row r="11">
      <c r="B11" t="inlineStr">
        <is>
          <t>Velkasuhde (velkaerät/tulot)</t>
        </is>
      </c>
      <c r="D11" s="40">
        <f>IF('💰 Kuukausittainen budjetti'!C11=0,0,'💳 Velkaseuranta'!D18/'💰 Kuukausittainen budjetti'!C11)</f>
        <v/>
      </c>
    </row>
  </sheetData>
  <mergeCells count="3">
    <mergeCell ref="B6:E6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2026-01-04T12:16:17Z</dcterms:created>
  <dcterms:modified xmlns:dcterms="http://purl.org/dc/terms/" xmlns:xsi="http://www.w3.org/2001/XMLSchema-instance" xsi:type="dcterms:W3CDTF">2026-01-04T12:16:17Z</dcterms:modified>
</cp:coreProperties>
</file>